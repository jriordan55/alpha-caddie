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Quick Calculator" sheetId="2" state="visible" r:id="rId4"/>
    <sheet name="SD Reference" sheetId="3" state="visible" r:id="rId5"/>
    <sheet name="Price Converter" sheetId="4" state="visible" r:id="rId6"/>
    <sheet name="Game Log Builder" sheetId="5" state="visible" r:id="rId7"/>
    <sheet name="Volume x Efficiency" sheetId="6" state="visible" r:id="rId8"/>
    <sheet name="Skew Adjustment" sheetId="7" state="visible" r:id="rId9"/>
    <sheet name="Alt Lin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<sst xmlns="http://schemas.openxmlformats.org/spreadsheetml/2006/main" count="245" uniqueCount="236">
  <si>
    <t xml:space="preserve">PRICING PLAYER PROPS FROM A RAW PROJECTION</t>
  </si>
  <si>
    <t xml:space="preserve">THE PROBLEM</t>
  </si>
  <si>
    <t xml:space="preserve">You project a RB for 80 rushing yards. The line is 72.5 at -120.</t>
  </si>
  <si>
    <t xml:space="preserve">Your number is higher than the line. Do you have a bet?</t>
  </si>
  <si>
    <t xml:space="preserve">Most people say yes. The honest answer is: you do not know yet.</t>
  </si>
  <si>
    <t xml:space="preserve">A projection is a single number. A bet needs a PROBABILITY.</t>
  </si>
  <si>
    <t xml:space="preserve">HOW TO USE THIS FILE</t>
  </si>
  <si>
    <t xml:space="preserve">Work through the tabs in order. Each layer adds real depth.</t>
  </si>
  <si>
    <t xml:space="preserve">LAYER 1 - Two minutes</t>
  </si>
  <si>
    <t xml:space="preserve">Quick Calculator + SD Reference</t>
  </si>
  <si>
    <t xml:space="preserve">Rule-of-thumb spread, one formula, an actual probability.</t>
  </si>
  <si>
    <t xml:space="preserve">This alone puts you ahead of most people betting props.</t>
  </si>
  <si>
    <t xml:space="preserve">LAYER 2 - Do it properly</t>
  </si>
  <si>
    <t xml:space="preserve">Price Converter + Game Log Builder + Volume x Efficiency</t>
  </si>
  <si>
    <t xml:space="preserve">Strip the overround off the market price so you compare like for like.</t>
  </si>
  <si>
    <t xml:space="preserve">Calculate the player's REAL spread from game logs instead of a rule of thumb.</t>
  </si>
  <si>
    <t xml:space="preserve">Split the prop into volume and efficiency and model each separately.</t>
  </si>
  <si>
    <t xml:space="preserve">LAYER 3 - Where it breaks</t>
  </si>
  <si>
    <t xml:space="preserve">Skew Adjustment + Alt Lines</t>
  </si>
  <si>
    <t xml:space="preserve">Yardage props are right skewed. Your mean is NOT the market's line.</t>
  </si>
  <si>
    <t xml:space="preserve">This is the layer that flips bets from over to under. Do not skip it.</t>
  </si>
  <si>
    <t xml:space="preserve">Once you have a distribution you can price every alternate line at once.</t>
  </si>
  <si>
    <t xml:space="preserve">COLOUR KEY</t>
  </si>
  <si>
    <t xml:space="preserve">BLUE text = you type here</t>
  </si>
  <si>
    <t xml:space="preserve">BLACK text = formula, do not overwrite</t>
  </si>
  <si>
    <t xml:space="preserve">GREEN text = pulled from another tab</t>
  </si>
  <si>
    <t xml:space="preserve">YELLOW fill = the inputs that matter most</t>
  </si>
  <si>
    <t xml:space="preserve">ONE WARNING</t>
  </si>
  <si>
    <t xml:space="preserve">Every number in here is only as good as your projection.</t>
  </si>
  <si>
    <t xml:space="preserve">This file turns a projection into a price. It does not make the projection good.</t>
  </si>
  <si>
    <t xml:space="preserve">LAYER 1  ·  QUICK CALCULATOR</t>
  </si>
  <si>
    <t xml:space="preserve">INPUTS</t>
  </si>
  <si>
    <t xml:space="preserve">Prop type (must match SD Reference)</t>
  </si>
  <si>
    <t xml:space="preserve">Rushing Yards</t>
  </si>
  <si>
    <t xml:space="preserve">Your projection (the mean)</t>
  </si>
  <si>
    <t xml:space="preserve">The line</t>
  </si>
  <si>
    <t xml:space="preserve">Price on the OVER (American)</t>
  </si>
  <si>
    <t xml:space="preserve">STEP 1  ·  HOW WIDE IS HIS RANGE</t>
  </si>
  <si>
    <t xml:space="preserve">Spread multiplier (from SD Reference)</t>
  </si>
  <si>
    <t xml:space="preserve">League median multiplier. One honest caveat: multipliers shrink</t>
  </si>
  <si>
    <t xml:space="preserve">Standard deviation (projection x multiplier)</t>
  </si>
  <si>
    <t xml:space="preserve">as roles grow. See the tier table on SD Reference for rushing.</t>
  </si>
  <si>
    <t xml:space="preserve">STEP 2  ·  TURN IT INTO A PROBABILITY</t>
  </si>
  <si>
    <t xml:space="preserve">P(player goes OVER the line)</t>
  </si>
  <si>
    <t xml:space="preserve">This is the whole point. Not 'is 80 bigger than 72.5' but</t>
  </si>
  <si>
    <t xml:space="preserve">P(player goes UNDER the line)</t>
  </si>
  <si>
    <t xml:space="preserve">'how often does he actually clear 72.5'.</t>
  </si>
  <si>
    <t xml:space="preserve">STEP 3  ·  WHAT THE PRICE DEMANDS</t>
  </si>
  <si>
    <t xml:space="preserve">Break even % at that price</t>
  </si>
  <si>
    <t xml:space="preserve">Note this is the raw price, overround included. Tab 4 strips</t>
  </si>
  <si>
    <t xml:space="preserve">Decimal payout</t>
  </si>
  <si>
    <t xml:space="preserve">that out so you are comparing like for like.</t>
  </si>
  <si>
    <t xml:space="preserve">STEP 4  ·  DO YOU HAVE A BET</t>
  </si>
  <si>
    <t xml:space="preserve">Probability edge (yours minus break even)</t>
  </si>
  <si>
    <t xml:space="preserve">Expected ROI per unit staked</t>
  </si>
  <si>
    <t xml:space="preserve">READ THIS BEFORE YOU FIRE</t>
  </si>
  <si>
    <t xml:space="preserve">Layer 1 assumes outcomes are spread symmetrically around your projection.</t>
  </si>
  <si>
    <t xml:space="preserve">For yardage props that assumption is wrong, and it is wrong in one direction.</t>
  </si>
  <si>
    <t xml:space="preserve">It makes overs look better than they are. Every single time.</t>
  </si>
  <si>
    <t xml:space="preserve">Go to the Skew Adjustment tab before you trust this number.</t>
  </si>
  <si>
    <t xml:space="preserve">LAYER 1  ·  SPREAD REFERENCE TABLE</t>
  </si>
  <si>
    <t xml:space="preserve">Multiply your projection by the multiplier to get a starting standard deviation.</t>
  </si>
  <si>
    <t xml:space="preserve">Prop type</t>
  </si>
  <si>
    <t xml:space="preserve">SD multiplier</t>
  </si>
  <si>
    <t xml:space="preserve">Typical projection</t>
  </si>
  <si>
    <t xml:space="preserve">Implied SD</t>
  </si>
  <si>
    <t xml:space="preserve">Why it behaves this way</t>
  </si>
  <si>
    <t xml:space="preserve">Pass Attempts</t>
  </si>
  <si>
    <t xml:space="preserve">Most predictable stat in football. Script driven, not luck driven. (n=104 player seasons)</t>
  </si>
  <si>
    <t xml:space="preserve">Completions</t>
  </si>
  <si>
    <t xml:space="preserve">Attempts plus a fairly stable completion rate. (n=104 player seasons)</t>
  </si>
  <si>
    <t xml:space="preserve">Passing Yards</t>
  </si>
  <si>
    <t xml:space="preserve">Tightest yardage prop. High volume smooths single plays. (n=104 player seasons)</t>
  </si>
  <si>
    <t xml:space="preserve">Carries</t>
  </si>
  <si>
    <t xml:space="preserve">Volume props are tighter than the yards they produce. (n=129 player seasons)</t>
  </si>
  <si>
    <t xml:space="preserve">Receptions</t>
  </si>
  <si>
    <t xml:space="preserve">Low counts mean each catch is a big share of the total. (n=242 player seasons)</t>
  </si>
  <si>
    <t xml:space="preserve">Carries times yards per carry. Both vary, so the spread compounds. (n=129 player seasons)</t>
  </si>
  <si>
    <t xml:space="preserve">Receiving Yards</t>
  </si>
  <si>
    <t xml:space="preserve">Needs a target, a catch, and then yards. Uncertainty stacks. (n=242 player seasons)</t>
  </si>
  <si>
    <t xml:space="preserve">TE Receiving Yds</t>
  </si>
  <si>
    <t xml:space="preserve">Lower volume than WRs makes each game swingier still. (n=115 player seasons)</t>
  </si>
  <si>
    <t xml:space="preserve">Rush + Rec Yards</t>
  </si>
  <si>
    <t xml:space="preserve">Combining two stats smooths the spread. Diversification. (n=129 player seasons)</t>
  </si>
  <si>
    <t xml:space="preserve">METHODOLOGY</t>
  </si>
  <si>
    <t xml:space="preserve">Derived from public NFL weekly game logs (nflverse), 2022 through 2024 regular seasons.</t>
  </si>
  <si>
    <t xml:space="preserve">For every qualifying player season (minimum 8 games, minimum volume threshold: 20 att</t>
  </si>
  <si>
    <t xml:space="preserve">for QBs, 8 carries for RBs, 4 targets for WRs, 3 for TEs) we computed that player's</t>
  </si>
  <si>
    <t xml:space="preserve">game to game standard deviation divided by his mean. The multiplier shown is the</t>
  </si>
  <si>
    <t xml:space="preserve">median across all qualifying player seasons. Sample sizes shown per row.</t>
  </si>
  <si>
    <t xml:space="preserve">These are league medians, not gospel. A workhorse back runs tighter than this, a</t>
  </si>
  <si>
    <t xml:space="preserve">committee back runs wider. Layer 2 measures YOUR player. That number wins.</t>
  </si>
  <si>
    <t xml:space="preserve">RUSHING YARDS BY ROLE (same methodology, tiered by yards per game)</t>
  </si>
  <si>
    <t xml:space="preserve">Role tier</t>
  </si>
  <si>
    <t xml:space="preserve">Multiplier</t>
  </si>
  <si>
    <t xml:space="preserve">n seasons</t>
  </si>
  <si>
    <t xml:space="preserve">Under 60 yards per game</t>
  </si>
  <si>
    <t xml:space="preserve">60 to 80 yards per game</t>
  </si>
  <si>
    <t xml:space="preserve">80 plus yards per game</t>
  </si>
  <si>
    <t xml:space="preserve">The multiplier SHRINKS as the role grows. Committee backs and part timers swing</t>
  </si>
  <si>
    <t xml:space="preserve">far more, game to game, relative to their average than workhorses do. If you are</t>
  </si>
  <si>
    <t xml:space="preserve">pricing a true workhorse, the 80 plus tier is the honest starting point, not the</t>
  </si>
  <si>
    <t xml:space="preserve">overall median. Better yet, measure the player. That is Layer 2.</t>
  </si>
  <si>
    <t xml:space="preserve">LAYER 2  ·  STRIPPING THE OVERROUND</t>
  </si>
  <si>
    <t xml:space="preserve">A two sided market always adds up to more than 100%. That excess is the overround.</t>
  </si>
  <si>
    <t xml:space="preserve">Stripping it out tells you what the market ACTUALLY believes. Use it as a sanity check, not a bet threshold.</t>
  </si>
  <si>
    <t xml:space="preserve">OVER</t>
  </si>
  <si>
    <t xml:space="preserve">UNDER</t>
  </si>
  <si>
    <t xml:space="preserve">Posted price (American)</t>
  </si>
  <si>
    <t xml:space="preserve">STEP 1  ·  CONVERT TO IMPLIED</t>
  </si>
  <si>
    <t xml:space="preserve">Implied probability</t>
  </si>
  <si>
    <t xml:space="preserve">STEP 2  ·  MEASURE THE OVERROUND</t>
  </si>
  <si>
    <t xml:space="preserve">Sum of both sides</t>
  </si>
  <si>
    <t xml:space="preserve">On a prediction market like ProphetX this figure is shown on</t>
  </si>
  <si>
    <t xml:space="preserve">Overround (the house's cut)</t>
  </si>
  <si>
    <t xml:space="preserve">every market. A lower overround means a lower breakeven, which</t>
  </si>
  <si>
    <t xml:space="preserve">means more of your edges survive as actual bets.</t>
  </si>
  <si>
    <t xml:space="preserve">STEP 3  ·  FAIR PROBABILITY</t>
  </si>
  <si>
    <t xml:space="preserve">Market's true opinion (fair prob)</t>
  </si>
  <si>
    <t xml:space="preserve">Fair price (American)</t>
  </si>
  <si>
    <t xml:space="preserve">IMPORTANT: WHAT THIS IS AND IS NOT FOR</t>
  </si>
  <si>
    <t xml:space="preserve">For the BET DECISION, use the posted price. Your breakeven at -120 is 54.5%</t>
  </si>
  <si>
    <t xml:space="preserve">and that already includes the overround. If your probability beats that</t>
  </si>
  <si>
    <t xml:space="preserve">breakeven, you have a +EV bet. Devigging changes nothing about that math.</t>
  </si>
  <si>
    <t xml:space="preserve">The fair probability has a different job: it is the market's true opinion</t>
  </si>
  <si>
    <t xml:space="preserve">with the charge removed. Compare YOUR projection to it as a sanity check.</t>
  </si>
  <si>
    <t xml:space="preserve">If the market's fair number is miles from yours, the odds are overwhelming</t>
  </si>
  <si>
    <t xml:space="preserve">that you are the one who is wrong. Go back and find out what you missed.</t>
  </si>
  <si>
    <t xml:space="preserve">LAYER 2  ·  THE PLAYER'S REAL RANGE</t>
  </si>
  <si>
    <t xml:space="preserve">Real example: Josh Jacobs, 2024 regular season, all 17 games (source: nflverse public data). Measure his actual range instead of guessing.</t>
  </si>
  <si>
    <t xml:space="preserve">Week</t>
  </si>
  <si>
    <t xml:space="preserve">Rush Yds</t>
  </si>
  <si>
    <t xml:space="preserve">Yds/Carry</t>
  </si>
  <si>
    <t xml:space="preserve">MEASURED FROM THE LOGS</t>
  </si>
  <si>
    <t xml:space="preserve">Mean rushing yards</t>
  </si>
  <si>
    <t xml:space="preserve">Compare this measured multiplier to the 0.42 rule of thumb</t>
  </si>
  <si>
    <t xml:space="preserve">Median rushing yards</t>
  </si>
  <si>
    <t xml:space="preserve">on the SD Reference tab. Sometimes close, often not.</t>
  </si>
  <si>
    <t xml:space="preserve">Standard deviation</t>
  </si>
  <si>
    <t xml:space="preserve">SD multiplier (actual)</t>
  </si>
  <si>
    <t xml:space="preserve">THIS is the number to use. It is his spread, not the league's.</t>
  </si>
  <si>
    <t xml:space="preserve">Mean carries</t>
  </si>
  <si>
    <t xml:space="preserve">SD of carries</t>
  </si>
  <si>
    <t xml:space="preserve">Mean yards per carry (per game)</t>
  </si>
  <si>
    <t xml:space="preserve">SD of yards per carry</t>
  </si>
  <si>
    <t xml:space="preserve">MEAN VS MEDIAN — LOOK AT THIS</t>
  </si>
  <si>
    <t xml:space="preserve">Mean minus median</t>
  </si>
  <si>
    <t xml:space="preserve">A positive number here is the fingerprint of right skew.</t>
  </si>
  <si>
    <t xml:space="preserve">Jacobs averaged 78 but his TYPICAL game was 73. Two monster games</t>
  </si>
  <si>
    <t xml:space="preserve">(151 and 127) drag the average above the game you usually get.</t>
  </si>
  <si>
    <t xml:space="preserve">The market prices the typical game. Models project the average.</t>
  </si>
  <si>
    <t xml:space="preserve">And this is not a Jacobs quirk. Across 2022 to 2024, 70% of all</t>
  </si>
  <si>
    <t xml:space="preserve">qualifying RB seasons had a mean above the median. It is structural.</t>
  </si>
  <si>
    <t xml:space="preserve">Sample note: 17 games is one season and one role. Weight recent</t>
  </si>
  <si>
    <t xml:space="preserve">games and be honest that measured SDs carry error of their own.</t>
  </si>
  <si>
    <t xml:space="preserve">LAYER 2  ·  SPLIT THE PROP IN TWO</t>
  </si>
  <si>
    <t xml:space="preserve">Rushing yards is not one thing. It is carries multiplied by yards per carry.</t>
  </si>
  <si>
    <t xml:space="preserve">Inputs below are Josh Jacobs' measured 2024 numbers from the Game Log Builder.</t>
  </si>
  <si>
    <t xml:space="preserve">VOLUME</t>
  </si>
  <si>
    <t xml:space="preserve">EFFICIENCY</t>
  </si>
  <si>
    <t xml:space="preserve">Projected carries</t>
  </si>
  <si>
    <t xml:space="preserve">Projected yards per carry</t>
  </si>
  <si>
    <t xml:space="preserve">COMBINED</t>
  </si>
  <si>
    <t xml:space="preserve">Projected rushing yards</t>
  </si>
  <si>
    <t xml:space="preserve">The projection is the easy part. Multiply the two.</t>
  </si>
  <si>
    <t xml:space="preserve">Combined standard deviation</t>
  </si>
  <si>
    <t xml:space="preserve">The spread is the interesting part. Uncertainty in volume AND in</t>
  </si>
  <si>
    <t xml:space="preserve">Implied SD multiplier</t>
  </si>
  <si>
    <t xml:space="preserve">efficiency both feed in, which is why yardage props are so wide.</t>
  </si>
  <si>
    <t xml:space="preserve">WHERE THE UNCERTAINTY COMES FROM</t>
  </si>
  <si>
    <t xml:space="preserve">From volume alone</t>
  </si>
  <si>
    <t xml:space="preserve">From efficiency alone</t>
  </si>
  <si>
    <t xml:space="preserve">From the interaction</t>
  </si>
  <si>
    <t xml:space="preserve">This split is the practical payoff of the whole tab.</t>
  </si>
  <si>
    <t xml:space="preserve">If most of your uncertainty is volume, news is your edge. Snap counts, injuries,</t>
  </si>
  <si>
    <t xml:space="preserve">game script, committee changes. That is knowable information you can work.</t>
  </si>
  <si>
    <t xml:space="preserve">If most of it is efficiency, you are largely betting on variance and you should</t>
  </si>
  <si>
    <t xml:space="preserve">size down accordingly. Knowing which one you are looking at changes the bet.</t>
  </si>
  <si>
    <t xml:space="preserve">Honest caveat: this formula assumes carries and yards per carry are independent.</t>
  </si>
  <si>
    <t xml:space="preserve">They usually are not. For Jacobs they correlate negatively (his low carry games were</t>
  </si>
  <si>
    <t xml:space="preserve">his high YPC games), which is why the formula says 41 while his measured spread is</t>
  </si>
  <si>
    <t xml:space="preserve">29.6. The formula shows you WHERE uncertainty comes from. The measured number from</t>
  </si>
  <si>
    <t xml:space="preserve">the Game Log Builder is what you actually price with.</t>
  </si>
  <si>
    <t xml:space="preserve">LAYER 3  ·  THE TAB THAT FLIPS BETS</t>
  </si>
  <si>
    <t xml:space="preserve">Rushing and receiving yards are right skewed. A breakaway run has no ceiling.</t>
  </si>
  <si>
    <t xml:space="preserve">That drags the MEAN above the MEDIAN. Your model projects a mean. The market prices a median.</t>
  </si>
  <si>
    <t xml:space="preserve">Your projection (mean)</t>
  </si>
  <si>
    <t xml:space="preserve">SD = Jacobs' measured 2024 spread from the Game Log Builder.</t>
  </si>
  <si>
    <t xml:space="preserve">Layer 2 gave us his real number. Layer 3 uses it.</t>
  </si>
  <si>
    <t xml:space="preserve">Price on the OVER</t>
  </si>
  <si>
    <t xml:space="preserve">SAME INPUTS, TWO ASSUMPTIONS</t>
  </si>
  <si>
    <t xml:space="preserve">SYMMETRIC</t>
  </si>
  <si>
    <t xml:space="preserve">RIGHT SKEWED</t>
  </si>
  <si>
    <t xml:space="preserve">Log scale sigma</t>
  </si>
  <si>
    <t xml:space="preserve">Same projection. Same line. Same price.</t>
  </si>
  <si>
    <t xml:space="preserve">Log scale mu</t>
  </si>
  <si>
    <t xml:space="preserve">The symmetric column says you have a comfortable edge on the over.</t>
  </si>
  <si>
    <t xml:space="preserve">Mean outcome</t>
  </si>
  <si>
    <t xml:space="preserve">The skewed column says the bet is not there.</t>
  </si>
  <si>
    <t xml:space="preserve">Median outcome (the typical game)</t>
  </si>
  <si>
    <t xml:space="preserve">Nothing changed except the assumption about the SHAPE of the outcomes.</t>
  </si>
  <si>
    <t xml:space="preserve">P(OVER the line)</t>
  </si>
  <si>
    <t xml:space="preserve">Break even % needed</t>
  </si>
  <si>
    <t xml:space="preserve">This is the single most common way a decent projection turns into a</t>
  </si>
  <si>
    <t xml:space="preserve">Expected ROI</t>
  </si>
  <si>
    <t xml:space="preserve">losing bet. The model was fine. The distribution was wrong.</t>
  </si>
  <si>
    <t xml:space="preserve">HOW TO USE THIS IN PRACTICE</t>
  </si>
  <si>
    <t xml:space="preserve">Yardage props: assume right skew. The skewed column is the honest one.</t>
  </si>
  <si>
    <t xml:space="preserve">Receptions, carries, attempts: much closer to symmetric. Use the left column.</t>
  </si>
  <si>
    <t xml:space="preserve">Deep threat receivers: even more skewed than this model shows. Be careful.</t>
  </si>
  <si>
    <t xml:space="preserve">Passing yards: high volume smooths it out. Nearly symmetric in practice.</t>
  </si>
  <si>
    <t xml:space="preserve">And the general rule you can carry into every prop you ever price:</t>
  </si>
  <si>
    <t xml:space="preserve">if the prop can produce a monster outlier game, the over is worse than it looks.</t>
  </si>
  <si>
    <t xml:space="preserve">EMPIRICAL BACKING (2022-2024, same nflverse data)</t>
  </si>
  <si>
    <t xml:space="preserve">RB rushing yards: mean above median in 70% of qualifying player seasons.</t>
  </si>
  <si>
    <t xml:space="preserve">WR receiving yards: mean above median in 76% of qualifying player seasons.</t>
  </si>
  <si>
    <t xml:space="preserve">QB passing yards: 43%, i.e. essentially symmetric. The exception is real.</t>
  </si>
  <si>
    <t xml:space="preserve">RB carries: 57% with a median gap of just +0.2. Counting stats are near symmetric.</t>
  </si>
  <si>
    <t xml:space="preserve">LAYER 3  ·  PRICE EVERY ALTERNATE LINE AT ONCE</t>
  </si>
  <si>
    <t xml:space="preserve">Once you have a distribution instead of a number, every alternate line prices itself.</t>
  </si>
  <si>
    <t xml:space="preserve">Pulls the projection and spread from the Skew Adjustment tab.</t>
  </si>
  <si>
    <t xml:space="preserve">Projection</t>
  </si>
  <si>
    <t xml:space="preserve">Log sigma</t>
  </si>
  <si>
    <t xml:space="preserve">Log mu</t>
  </si>
  <si>
    <t xml:space="preserve">Alt line</t>
  </si>
  <si>
    <t xml:space="preserve">P(over) skewed</t>
  </si>
  <si>
    <t xml:space="preserve">Fair price over</t>
  </si>
  <si>
    <t xml:space="preserve">Book's price</t>
  </si>
  <si>
    <t xml:space="preserve">Your ROI</t>
  </si>
  <si>
    <t xml:space="preserve">WHY THIS MATTERS</t>
  </si>
  <si>
    <t xml:space="preserve">The main line is the most efficiently priced number on the board. It gets the</t>
  </si>
  <si>
    <t xml:space="preserve">most attention and the most money. The alternates get far less.</t>
  </si>
  <si>
    <t xml:space="preserve">So run the whole ladder. Plenty of times the main line is a pass and an</t>
  </si>
  <si>
    <t xml:space="preserve">alternate two numbers away is the actual bet. You would never see it if all</t>
  </si>
  <si>
    <t xml:space="preserve">you had was a single projection instead of a distribution.</t>
  </si>
  <si>
    <t xml:space="preserve">This is the real payoff of doing the work in the first three layers.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</si>
</sst>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"/>
    <numFmt numFmtId="167" formatCode="0.00"/>
    <numFmt numFmtId="168" formatCode="0.0%"/>
    <numFmt numFmtId="169" formatCode="0.000"/>
    <numFmt numFmtId="170" formatCode="\+0.0%;\-0.0%;0.0%"/>
    <numFmt numFmtId="171" formatCode="0.00%"/>
    <numFmt numFmtId="172" formatCode="\+0;\-0"/>
    <numFmt numFmtId="173" formatCode="\+0.0;\-0.0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6FB2"/>
        <bgColor rgb="FF008080"/>
      </patternFill>
    </fill>
    <fill>
      <patternFill patternType="solid">
        <fgColor rgb="FFFFF2CC"/>
        <bgColor rgb="FFFCE4E4"/>
      </patternFill>
    </fill>
    <fill>
      <patternFill patternType="solid">
        <fgColor rgb="FF2E7D32"/>
        <bgColor rgb="FF008000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C9A227"/>
        <bgColor rgb="FF99CC00"/>
      </patternFill>
    </fill>
    <fill>
      <patternFill patternType="solid">
        <fgColor rgb="FFFCE4E4"/>
        <bgColor rgb="FFF2F2F2"/>
      </patternFill>
    </fill>
    <fill>
      <patternFill patternType="solid">
        <fgColor rgb="FFD2691E"/>
        <bgColor rgb="FFC9A227"/>
      </patternFill>
    </fill>
    <fill>
      <patternFill patternType="solid">
        <fgColor rgb="FFC00000"/>
        <bgColor rgb="FF800000"/>
      </patternFill>
    </fill>
    <fill>
      <patternFill patternType="solid">
        <fgColor rgb="FF6A2C91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6A2C91"/>
      <rgbColor rgb="FFFFF2CC"/>
      <rgbColor rgb="FFF2F2F2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C9A227"/>
      <rgbColor rgb="FFD2691E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2"/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62"/>
    <col collapsed="false" customWidth="true" hidden="false" outlineLevel="0" max="4" min="4" style="1" width="18"/>
    <col collapsed="false" customWidth="true" hidden="false" outlineLevel="0" max="8" min="5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C5" s="4" t="s">
        <v>2</v>
      </c>
    </row>
    <row r="6" customFormat="false" ht="15" hidden="false" customHeight="true" outlineLevel="0" collapsed="false">
      <c r="C6" s="4" t="s">
        <v>3</v>
      </c>
    </row>
    <row r="7" customFormat="false" ht="15" hidden="false" customHeight="true" outlineLevel="0" collapsed="false">
      <c r="C7" s="4" t="s">
        <v>4</v>
      </c>
    </row>
    <row r="8" customFormat="false" ht="15" hidden="false" customHeight="true" outlineLevel="0" collapsed="false">
      <c r="C8" s="4" t="s">
        <v>5</v>
      </c>
    </row>
    <row r="10" customFormat="false" ht="15" hidden="false" customHeight="true" outlineLevel="0" collapsed="false">
      <c r="B10" s="3" t="s">
        <v>6</v>
      </c>
    </row>
    <row r="11" customFormat="false" ht="15" hidden="false" customHeight="true" outlineLevel="0" collapsed="false">
      <c r="C11" s="4" t="s">
        <v>7</v>
      </c>
    </row>
    <row r="13" customFormat="false" ht="15" hidden="false" customHeight="true" outlineLevel="0" collapsed="false">
      <c r="B13" s="3" t="s">
        <v>8</v>
      </c>
      <c r="C13" s="4" t="s">
        <v>9</v>
      </c>
    </row>
    <row r="14" customFormat="false" ht="15" hidden="false" customHeight="true" outlineLevel="0" collapsed="false">
      <c r="C14" s="4" t="s">
        <v>10</v>
      </c>
    </row>
    <row r="15" customFormat="false" ht="15" hidden="false" customHeight="true" outlineLevel="0" collapsed="false">
      <c r="C15" s="4" t="s">
        <v>11</v>
      </c>
    </row>
    <row r="17" customFormat="false" ht="15" hidden="false" customHeight="true" outlineLevel="0" collapsed="false">
      <c r="B17" s="3" t="s">
        <v>12</v>
      </c>
      <c r="C17" s="4" t="s">
        <v>13</v>
      </c>
    </row>
    <row r="18" customFormat="false" ht="15" hidden="false" customHeight="true" outlineLevel="0" collapsed="false">
      <c r="C18" s="4" t="s">
        <v>14</v>
      </c>
    </row>
    <row r="19" customFormat="false" ht="15" hidden="false" customHeight="true" outlineLevel="0" collapsed="false">
      <c r="C19" s="4" t="s">
        <v>15</v>
      </c>
    </row>
    <row r="20" customFormat="false" ht="15" hidden="false" customHeight="true" outlineLevel="0" collapsed="false">
      <c r="C20" s="4" t="s">
        <v>16</v>
      </c>
    </row>
    <row r="22" customFormat="false" ht="15" hidden="false" customHeight="true" outlineLevel="0" collapsed="false">
      <c r="B22" s="3" t="s">
        <v>17</v>
      </c>
      <c r="C22" s="4" t="s">
        <v>18</v>
      </c>
    </row>
    <row r="23" customFormat="false" ht="15" hidden="false" customHeight="true" outlineLevel="0" collapsed="false">
      <c r="C23" s="4" t="s">
        <v>19</v>
      </c>
    </row>
    <row r="24" customFormat="false" ht="15" hidden="false" customHeight="true" outlineLevel="0" collapsed="false">
      <c r="C24" s="4" t="s">
        <v>20</v>
      </c>
    </row>
    <row r="25" customFormat="false" ht="15" hidden="false" customHeight="true" outlineLevel="0" collapsed="false">
      <c r="C25" s="4" t="s">
        <v>21</v>
      </c>
    </row>
    <row r="27" customFormat="false" ht="15" hidden="false" customHeight="true" outlineLevel="0" collapsed="false">
      <c r="B27" s="3" t="s">
        <v>22</v>
      </c>
    </row>
    <row r="28" customFormat="false" ht="15" hidden="false" customHeight="true" outlineLevel="0" collapsed="false">
      <c r="C28" s="5" t="s">
        <v>23</v>
      </c>
    </row>
    <row r="29" customFormat="false" ht="15" hidden="false" customHeight="true" outlineLevel="0" collapsed="false">
      <c r="C29" s="6" t="s">
        <v>24</v>
      </c>
    </row>
    <row r="30" customFormat="false" ht="15" hidden="false" customHeight="true" outlineLevel="0" collapsed="false">
      <c r="C30" s="7" t="s">
        <v>25</v>
      </c>
    </row>
    <row r="31" customFormat="false" ht="15" hidden="false" customHeight="true" outlineLevel="0" collapsed="false">
      <c r="C31" s="8" t="s">
        <v>26</v>
      </c>
    </row>
    <row r="33" customFormat="false" ht="15" hidden="false" customHeight="true" outlineLevel="0" collapsed="false">
      <c r="B33" s="3" t="s">
        <v>27</v>
      </c>
    </row>
    <row r="34" customFormat="false" ht="15" hidden="false" customHeight="true" outlineLevel="0" collapsed="false">
      <c r="C34" s="4" t="s">
        <v>28</v>
      </c>
    </row>
    <row r="35" customFormat="false" ht="15" hidden="false" customHeight="true" outlineLevel="0" collapsed="false">
      <c r="C35" s="4" t="s">
        <v>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40"/>
  </cols>
  <sheetData>
    <row r="1" customFormat="false" ht="30" hidden="false" customHeight="true" outlineLevel="0" collapsed="false">
      <c r="A1" s="9" t="s">
        <v>30</v>
      </c>
      <c r="B1" s="9"/>
      <c r="C1" s="9"/>
      <c r="D1" s="9"/>
      <c r="E1" s="9"/>
      <c r="F1" s="9"/>
      <c r="G1" s="9"/>
      <c r="H1" s="9"/>
    </row>
    <row r="3" customFormat="false" ht="15" hidden="false" customHeight="true" outlineLevel="0" collapsed="false">
      <c r="B3" s="3" t="s">
        <v>31</v>
      </c>
    </row>
    <row r="4" customFormat="false" ht="15" hidden="false" customHeight="true" outlineLevel="0" collapsed="false">
      <c r="B4" s="10" t="s">
        <v>32</v>
      </c>
      <c r="C4" s="11" t="s">
        <v>33</v>
      </c>
    </row>
    <row r="5" customFormat="false" ht="15" hidden="false" customHeight="true" outlineLevel="0" collapsed="false">
      <c r="B5" s="10" t="s">
        <v>34</v>
      </c>
      <c r="C5" s="12" t="n">
        <v>80</v>
      </c>
    </row>
    <row r="6" customFormat="false" ht="15" hidden="false" customHeight="true" outlineLevel="0" collapsed="false">
      <c r="B6" s="10" t="s">
        <v>35</v>
      </c>
      <c r="C6" s="12" t="n">
        <v>72.5</v>
      </c>
    </row>
    <row r="7" customFormat="false" ht="15" hidden="false" customHeight="true" outlineLevel="0" collapsed="false">
      <c r="B7" s="10" t="s">
        <v>36</v>
      </c>
      <c r="C7" s="13" t="n">
        <v>-120</v>
      </c>
    </row>
    <row r="9" customFormat="false" ht="15" hidden="false" customHeight="true" outlineLevel="0" collapsed="false">
      <c r="B9" s="3" t="s">
        <v>37</v>
      </c>
    </row>
    <row r="10" customFormat="false" ht="15" hidden="false" customHeight="true" outlineLevel="0" collapsed="false">
      <c r="B10" s="4" t="s">
        <v>38</v>
      </c>
      <c r="C10" s="14" t="n">
        <f aca="false">INDEX('SD Reference'!$C$5:$C$14,MATCH($C$4,'SD Reference'!$B$5:$B$14,0))</f>
        <v>0.56</v>
      </c>
      <c r="H10" s="15" t="s">
        <v>39</v>
      </c>
    </row>
    <row r="11" customFormat="false" ht="15" hidden="false" customHeight="true" outlineLevel="0" collapsed="false">
      <c r="B11" s="4" t="s">
        <v>40</v>
      </c>
      <c r="C11" s="16" t="n">
        <f aca="false">C5*C10</f>
        <v>44.8</v>
      </c>
      <c r="H11" s="15" t="s">
        <v>41</v>
      </c>
    </row>
    <row r="13" customFormat="false" ht="15" hidden="false" customHeight="true" outlineLevel="0" collapsed="false">
      <c r="B13" s="3" t="s">
        <v>42</v>
      </c>
    </row>
    <row r="14" customFormat="false" ht="15" hidden="false" customHeight="true" outlineLevel="0" collapsed="false">
      <c r="B14" s="10" t="s">
        <v>43</v>
      </c>
      <c r="C14" s="17" t="n">
        <f aca="false">1-NORMDIST(C6,C5,C11,TRUE())</f>
        <v>0.56647655231774</v>
      </c>
      <c r="H14" s="15" t="s">
        <v>44</v>
      </c>
    </row>
    <row r="15" customFormat="false" ht="15" hidden="false" customHeight="true" outlineLevel="0" collapsed="false">
      <c r="B15" s="4" t="s">
        <v>45</v>
      </c>
      <c r="C15" s="18" t="n">
        <f aca="false">1-C14</f>
        <v>0.43352344768226</v>
      </c>
      <c r="H15" s="15" t="s">
        <v>46</v>
      </c>
    </row>
    <row r="17" customFormat="false" ht="15" hidden="false" customHeight="true" outlineLevel="0" collapsed="false">
      <c r="B17" s="3" t="s">
        <v>47</v>
      </c>
    </row>
    <row r="18" customFormat="false" ht="15" hidden="false" customHeight="true" outlineLevel="0" collapsed="false">
      <c r="B18" s="10" t="s">
        <v>48</v>
      </c>
      <c r="C18" s="19" t="n">
        <f aca="false">IF(C7&lt;0,-C7/(-C7+100),100/(C7+100))</f>
        <v>0.545454545454545</v>
      </c>
      <c r="H18" s="15" t="s">
        <v>49</v>
      </c>
    </row>
    <row r="19" customFormat="false" ht="15" hidden="false" customHeight="true" outlineLevel="0" collapsed="false">
      <c r="B19" s="4" t="s">
        <v>50</v>
      </c>
      <c r="C19" s="20" t="n">
        <f aca="false">IF(C7&lt;0,1+100/-C7,1+C7/100)</f>
        <v>1.83333333333333</v>
      </c>
      <c r="H19" s="15" t="s">
        <v>51</v>
      </c>
    </row>
    <row r="21" customFormat="false" ht="15" hidden="false" customHeight="true" outlineLevel="0" collapsed="false">
      <c r="B21" s="3" t="s">
        <v>52</v>
      </c>
    </row>
    <row r="22" customFormat="false" ht="15" hidden="false" customHeight="true" outlineLevel="0" collapsed="false">
      <c r="B22" s="10" t="s">
        <v>53</v>
      </c>
      <c r="C22" s="21" t="n">
        <f aca="false">C14-C18</f>
        <v>0.0210220068631947</v>
      </c>
    </row>
    <row r="23" customFormat="false" ht="15" hidden="false" customHeight="true" outlineLevel="0" collapsed="false">
      <c r="B23" s="10" t="s">
        <v>54</v>
      </c>
      <c r="C23" s="21" t="n">
        <f aca="false">C14*C19-1</f>
        <v>0.0385403459158569</v>
      </c>
    </row>
    <row r="24" customFormat="false" ht="17.25" hidden="false" customHeight="true" outlineLevel="0" collapsed="false">
      <c r="B24" s="22"/>
      <c r="C24" s="22"/>
    </row>
    <row r="26" customFormat="false" ht="15" hidden="false" customHeight="true" outlineLevel="0" collapsed="false">
      <c r="B26" s="3" t="s">
        <v>55</v>
      </c>
    </row>
    <row r="27" customFormat="false" ht="15" hidden="false" customHeight="true" outlineLevel="0" collapsed="false">
      <c r="B27" s="4" t="s">
        <v>56</v>
      </c>
    </row>
    <row r="28" customFormat="false" ht="15" hidden="false" customHeight="true" outlineLevel="0" collapsed="false">
      <c r="B28" s="4" t="s">
        <v>57</v>
      </c>
    </row>
    <row r="29" customFormat="false" ht="15" hidden="false" customHeight="true" outlineLevel="0" collapsed="false">
      <c r="B29" s="4" t="s">
        <v>58</v>
      </c>
    </row>
    <row r="30" customFormat="false" ht="15" hidden="false" customHeight="true" outlineLevel="0" collapsed="false">
      <c r="B30" s="23" t="s">
        <v>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30" hidden="false" customHeight="true" outlineLevel="0" collapsed="false">
      <c r="A1" s="9" t="s">
        <v>60</v>
      </c>
      <c r="B1" s="9"/>
      <c r="C1" s="9"/>
      <c r="D1" s="9"/>
      <c r="E1" s="9"/>
      <c r="F1" s="9"/>
      <c r="G1" s="9"/>
      <c r="H1" s="9"/>
    </row>
    <row r="3" customFormat="false" ht="15" hidden="false" customHeight="true" outlineLevel="0" collapsed="false">
      <c r="B3" s="4" t="s">
        <v>61</v>
      </c>
    </row>
    <row r="4" customFormat="false" ht="15" hidden="false" customHeight="true" outlineLevel="0" collapsed="false">
      <c r="B4" s="24" t="s">
        <v>62</v>
      </c>
      <c r="C4" s="24" t="s">
        <v>63</v>
      </c>
      <c r="D4" s="24" t="s">
        <v>64</v>
      </c>
      <c r="E4" s="24" t="s">
        <v>65</v>
      </c>
      <c r="F4" s="24" t="s">
        <v>66</v>
      </c>
    </row>
    <row r="5" customFormat="false" ht="15" hidden="false" customHeight="true" outlineLevel="0" collapsed="false">
      <c r="B5" s="4" t="s">
        <v>67</v>
      </c>
      <c r="C5" s="25" t="n">
        <v>0.25</v>
      </c>
      <c r="D5" s="16" t="n">
        <v>34</v>
      </c>
      <c r="E5" s="16" t="n">
        <f aca="false">C5*D5</f>
        <v>8.5</v>
      </c>
      <c r="F5" s="15" t="s">
        <v>68</v>
      </c>
    </row>
    <row r="6" customFormat="false" ht="15" hidden="false" customHeight="true" outlineLevel="0" collapsed="false">
      <c r="B6" s="4" t="s">
        <v>69</v>
      </c>
      <c r="C6" s="25" t="n">
        <v>0.28</v>
      </c>
      <c r="D6" s="16" t="n">
        <v>22</v>
      </c>
      <c r="E6" s="16" t="n">
        <f aca="false">C6*D6</f>
        <v>6.16</v>
      </c>
      <c r="F6" s="15" t="s">
        <v>70</v>
      </c>
    </row>
    <row r="7" customFormat="false" ht="15" hidden="false" customHeight="true" outlineLevel="0" collapsed="false">
      <c r="B7" s="4" t="s">
        <v>71</v>
      </c>
      <c r="C7" s="25" t="n">
        <v>0.31</v>
      </c>
      <c r="D7" s="16" t="n">
        <v>250</v>
      </c>
      <c r="E7" s="16" t="n">
        <f aca="false">C7*D7</f>
        <v>77.5</v>
      </c>
      <c r="F7" s="15" t="s">
        <v>72</v>
      </c>
    </row>
    <row r="8" customFormat="false" ht="15" hidden="false" customHeight="true" outlineLevel="0" collapsed="false">
      <c r="B8" s="4" t="s">
        <v>73</v>
      </c>
      <c r="C8" s="25" t="n">
        <v>0.39</v>
      </c>
      <c r="D8" s="16" t="n">
        <v>15</v>
      </c>
      <c r="E8" s="16" t="n">
        <f aca="false">C8*D8</f>
        <v>5.85</v>
      </c>
      <c r="F8" s="15" t="s">
        <v>74</v>
      </c>
    </row>
    <row r="9" customFormat="false" ht="15" hidden="false" customHeight="true" outlineLevel="0" collapsed="false">
      <c r="B9" s="4" t="s">
        <v>75</v>
      </c>
      <c r="C9" s="25" t="n">
        <v>0.53</v>
      </c>
      <c r="D9" s="16" t="n">
        <v>4.5</v>
      </c>
      <c r="E9" s="16" t="n">
        <f aca="false">C9*D9</f>
        <v>2.385</v>
      </c>
      <c r="F9" s="15" t="s">
        <v>76</v>
      </c>
    </row>
    <row r="10" customFormat="false" ht="15" hidden="false" customHeight="true" outlineLevel="0" collapsed="false">
      <c r="B10" s="4" t="s">
        <v>33</v>
      </c>
      <c r="C10" s="25" t="n">
        <v>0.56</v>
      </c>
      <c r="D10" s="16" t="n">
        <v>65</v>
      </c>
      <c r="E10" s="16" t="n">
        <f aca="false">C10*D10</f>
        <v>36.4</v>
      </c>
      <c r="F10" s="15" t="s">
        <v>77</v>
      </c>
    </row>
    <row r="11" customFormat="false" ht="15" hidden="false" customHeight="true" outlineLevel="0" collapsed="false">
      <c r="B11" s="4" t="s">
        <v>78</v>
      </c>
      <c r="C11" s="25" t="n">
        <v>0.64</v>
      </c>
      <c r="D11" s="16" t="n">
        <v>60</v>
      </c>
      <c r="E11" s="16" t="n">
        <f aca="false">C11*D11</f>
        <v>38.4</v>
      </c>
      <c r="F11" s="15" t="s">
        <v>79</v>
      </c>
    </row>
    <row r="12" customFormat="false" ht="15" hidden="false" customHeight="true" outlineLevel="0" collapsed="false">
      <c r="B12" s="4" t="s">
        <v>80</v>
      </c>
      <c r="C12" s="25" t="n">
        <v>0.69</v>
      </c>
      <c r="D12" s="16" t="n">
        <v>45</v>
      </c>
      <c r="E12" s="16" t="n">
        <f aca="false">C12*D12</f>
        <v>31.05</v>
      </c>
      <c r="F12" s="15" t="s">
        <v>81</v>
      </c>
    </row>
    <row r="13" customFormat="false" ht="15" hidden="false" customHeight="true" outlineLevel="0" collapsed="false">
      <c r="B13" s="4" t="s">
        <v>82</v>
      </c>
      <c r="C13" s="25" t="n">
        <v>0.5</v>
      </c>
      <c r="D13" s="16" t="n">
        <v>90</v>
      </c>
      <c r="E13" s="16" t="n">
        <f aca="false">C13*D13</f>
        <v>45</v>
      </c>
      <c r="F13" s="15" t="s">
        <v>83</v>
      </c>
    </row>
    <row r="14" customFormat="false" ht="15" hidden="false" customHeight="true" outlineLevel="0" collapsed="false">
      <c r="B14" s="4"/>
      <c r="C14" s="26"/>
      <c r="D14" s="16"/>
      <c r="E14" s="16"/>
      <c r="F14" s="15"/>
    </row>
    <row r="17" customFormat="false" ht="15" hidden="false" customHeight="true" outlineLevel="0" collapsed="false">
      <c r="B17" s="3" t="s">
        <v>84</v>
      </c>
    </row>
    <row r="18" customFormat="false" ht="15" hidden="false" customHeight="true" outlineLevel="0" collapsed="false">
      <c r="B18" s="4" t="s">
        <v>85</v>
      </c>
    </row>
    <row r="19" customFormat="false" ht="15" hidden="false" customHeight="true" outlineLevel="0" collapsed="false">
      <c r="B19" s="4" t="s">
        <v>86</v>
      </c>
    </row>
    <row r="20" customFormat="false" ht="15" hidden="false" customHeight="true" outlineLevel="0" collapsed="false">
      <c r="B20" s="4" t="s">
        <v>87</v>
      </c>
    </row>
    <row r="21" customFormat="false" ht="15" hidden="false" customHeight="true" outlineLevel="0" collapsed="false">
      <c r="B21" s="4" t="s">
        <v>88</v>
      </c>
    </row>
    <row r="22" customFormat="false" ht="15" hidden="false" customHeight="true" outlineLevel="0" collapsed="false">
      <c r="B22" s="4" t="s">
        <v>89</v>
      </c>
    </row>
    <row r="23" customFormat="false" ht="15" hidden="false" customHeight="true" outlineLevel="0" collapsed="false">
      <c r="B23" s="4"/>
    </row>
    <row r="24" customFormat="false" ht="15" hidden="false" customHeight="true" outlineLevel="0" collapsed="false">
      <c r="B24" s="4" t="s">
        <v>90</v>
      </c>
    </row>
    <row r="25" customFormat="false" ht="15" hidden="false" customHeight="true" outlineLevel="0" collapsed="false">
      <c r="B25" s="23" t="s">
        <v>91</v>
      </c>
    </row>
    <row r="27" customFormat="false" ht="15" hidden="false" customHeight="true" outlineLevel="0" collapsed="false">
      <c r="B27" s="3" t="s">
        <v>92</v>
      </c>
    </row>
    <row r="28" customFormat="false" ht="15" hidden="false" customHeight="true" outlineLevel="0" collapsed="false">
      <c r="B28" s="24" t="s">
        <v>93</v>
      </c>
      <c r="C28" s="24" t="s">
        <v>94</v>
      </c>
      <c r="D28" s="24" t="s">
        <v>95</v>
      </c>
    </row>
    <row r="29" customFormat="false" ht="15" hidden="false" customHeight="true" outlineLevel="0" collapsed="false">
      <c r="B29" s="4" t="s">
        <v>96</v>
      </c>
      <c r="C29" s="25" t="n">
        <v>0.63</v>
      </c>
      <c r="D29" s="4" t="n">
        <v>72</v>
      </c>
    </row>
    <row r="30" customFormat="false" ht="15" hidden="false" customHeight="true" outlineLevel="0" collapsed="false">
      <c r="B30" s="4" t="s">
        <v>97</v>
      </c>
      <c r="C30" s="25" t="n">
        <v>0.52</v>
      </c>
      <c r="D30" s="4" t="n">
        <v>44</v>
      </c>
    </row>
    <row r="31" customFormat="false" ht="15" hidden="false" customHeight="true" outlineLevel="0" collapsed="false">
      <c r="B31" s="4" t="s">
        <v>98</v>
      </c>
      <c r="C31" s="25" t="n">
        <v>0.42</v>
      </c>
      <c r="D31" s="4" t="n">
        <v>13</v>
      </c>
    </row>
    <row r="33" customFormat="false" ht="15" hidden="false" customHeight="true" outlineLevel="0" collapsed="false">
      <c r="B33" s="4" t="s">
        <v>99</v>
      </c>
    </row>
    <row r="34" customFormat="false" ht="15" hidden="false" customHeight="true" outlineLevel="0" collapsed="false">
      <c r="B34" s="4" t="s">
        <v>100</v>
      </c>
    </row>
    <row r="35" customFormat="false" ht="15" hidden="false" customHeight="true" outlineLevel="0" collapsed="false">
      <c r="B35" s="4" t="s">
        <v>101</v>
      </c>
    </row>
    <row r="36" customFormat="false" ht="15" hidden="false" customHeight="true" outlineLevel="0" collapsed="false">
      <c r="B36" s="23" t="s">
        <v>102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4"/>
    <col collapsed="false" customWidth="true" hidden="false" outlineLevel="0" max="6" min="6" style="1" width="58"/>
  </cols>
  <sheetData>
    <row r="1" customFormat="false" ht="30" hidden="false" customHeight="true" outlineLevel="0" collapsed="false">
      <c r="A1" s="27" t="s">
        <v>103</v>
      </c>
      <c r="B1" s="27"/>
      <c r="C1" s="27"/>
      <c r="D1" s="27"/>
      <c r="E1" s="27"/>
      <c r="F1" s="27"/>
      <c r="G1" s="27"/>
      <c r="H1" s="27"/>
    </row>
    <row r="3" customFormat="false" ht="15" hidden="false" customHeight="true" outlineLevel="0" collapsed="false">
      <c r="B3" s="4" t="s">
        <v>104</v>
      </c>
    </row>
    <row r="4" customFormat="false" ht="15" hidden="false" customHeight="true" outlineLevel="0" collapsed="false">
      <c r="B4" s="4" t="s">
        <v>105</v>
      </c>
    </row>
    <row r="6" customFormat="false" ht="15" hidden="false" customHeight="true" outlineLevel="0" collapsed="false">
      <c r="B6" s="3" t="s">
        <v>31</v>
      </c>
      <c r="C6" s="24" t="s">
        <v>106</v>
      </c>
      <c r="D6" s="24" t="s">
        <v>107</v>
      </c>
    </row>
    <row r="7" customFormat="false" ht="15" hidden="false" customHeight="true" outlineLevel="0" collapsed="false">
      <c r="B7" s="10" t="s">
        <v>108</v>
      </c>
      <c r="C7" s="11" t="n">
        <v>-120</v>
      </c>
      <c r="D7" s="11" t="n">
        <v>-102</v>
      </c>
    </row>
    <row r="9" customFormat="false" ht="15" hidden="false" customHeight="true" outlineLevel="0" collapsed="false">
      <c r="B9" s="3" t="s">
        <v>109</v>
      </c>
    </row>
    <row r="10" customFormat="false" ht="15" hidden="false" customHeight="true" outlineLevel="0" collapsed="false">
      <c r="B10" s="4" t="s">
        <v>110</v>
      </c>
      <c r="C10" s="28" t="n">
        <f aca="false">IF(C7&lt;0,-C7/(-C7+100),100/(C7+100))</f>
        <v>0.545454545454545</v>
      </c>
      <c r="D10" s="28" t="n">
        <f aca="false">IF(D7&lt;0,-D7/(-D7+100),100/(D7+100))</f>
        <v>0.504950495049505</v>
      </c>
    </row>
    <row r="12" customFormat="false" ht="15" hidden="false" customHeight="true" outlineLevel="0" collapsed="false">
      <c r="B12" s="3" t="s">
        <v>111</v>
      </c>
    </row>
    <row r="13" customFormat="false" ht="15" hidden="false" customHeight="true" outlineLevel="0" collapsed="false">
      <c r="B13" s="10" t="s">
        <v>112</v>
      </c>
      <c r="C13" s="29" t="n">
        <f aca="false">C10+D10</f>
        <v>1.05040504050405</v>
      </c>
      <c r="F13" s="15" t="s">
        <v>113</v>
      </c>
    </row>
    <row r="14" customFormat="false" ht="15" hidden="false" customHeight="true" outlineLevel="0" collapsed="false">
      <c r="B14" s="10" t="s">
        <v>114</v>
      </c>
      <c r="C14" s="30" t="n">
        <f aca="false">C13-1</f>
        <v>0.0504050405040504</v>
      </c>
      <c r="F14" s="15" t="s">
        <v>115</v>
      </c>
    </row>
    <row r="15" customFormat="false" ht="15" hidden="false" customHeight="true" outlineLevel="0" collapsed="false">
      <c r="F15" s="15" t="s">
        <v>116</v>
      </c>
    </row>
    <row r="16" customFormat="false" ht="15" hidden="false" customHeight="true" outlineLevel="0" collapsed="false">
      <c r="B16" s="3" t="s">
        <v>117</v>
      </c>
    </row>
    <row r="17" customFormat="false" ht="15" hidden="false" customHeight="true" outlineLevel="0" collapsed="false">
      <c r="B17" s="10" t="s">
        <v>118</v>
      </c>
      <c r="C17" s="31" t="n">
        <f aca="false">C10/$C$13</f>
        <v>0.519280205655527</v>
      </c>
      <c r="D17" s="31" t="n">
        <f aca="false">D10/$C$13</f>
        <v>0.480719794344473</v>
      </c>
    </row>
    <row r="18" customFormat="false" ht="15" hidden="false" customHeight="true" outlineLevel="0" collapsed="false">
      <c r="B18" s="10" t="s">
        <v>119</v>
      </c>
      <c r="C18" s="32" t="n">
        <f aca="false">IF(C17&gt;0.5,-C17/(1-C17)*100,(1-C17)/C17*100)</f>
        <v>-108.021390374332</v>
      </c>
      <c r="D18" s="32" t="n">
        <f aca="false">IF(D17&gt;0.5,-D17/(1-D17)*100,(1-D17)/D17*100)</f>
        <v>108.021390374332</v>
      </c>
    </row>
    <row r="20" customFormat="false" ht="15" hidden="false" customHeight="true" outlineLevel="0" collapsed="false">
      <c r="B20" s="3" t="s">
        <v>120</v>
      </c>
    </row>
    <row r="21" customFormat="false" ht="15" hidden="false" customHeight="true" outlineLevel="0" collapsed="false">
      <c r="B21" s="10" t="s">
        <v>121</v>
      </c>
    </row>
    <row r="22" customFormat="false" ht="15" hidden="false" customHeight="true" outlineLevel="0" collapsed="false">
      <c r="B22" s="4" t="s">
        <v>122</v>
      </c>
    </row>
    <row r="23" customFormat="false" ht="15" hidden="false" customHeight="true" outlineLevel="0" collapsed="false">
      <c r="B23" s="4" t="s">
        <v>123</v>
      </c>
    </row>
    <row r="24" customFormat="false" ht="15" hidden="false" customHeight="true" outlineLevel="0" collapsed="false">
      <c r="B24" s="4"/>
    </row>
    <row r="25" customFormat="false" ht="15" hidden="false" customHeight="true" outlineLevel="0" collapsed="false">
      <c r="B25" s="4" t="s">
        <v>124</v>
      </c>
    </row>
    <row r="26" customFormat="false" ht="15" hidden="false" customHeight="true" outlineLevel="0" collapsed="false">
      <c r="B26" s="4" t="s">
        <v>125</v>
      </c>
    </row>
    <row r="27" customFormat="false" ht="15" hidden="false" customHeight="true" outlineLevel="0" collapsed="false">
      <c r="B27" s="4" t="s">
        <v>126</v>
      </c>
    </row>
    <row r="28" customFormat="false" ht="15" hidden="false" customHeight="true" outlineLevel="0" collapsed="false">
      <c r="B28" s="4" t="s">
        <v>127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691E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5" min="3" style="1" width="14"/>
    <col collapsed="false" customWidth="true" hidden="false" outlineLevel="0" max="6" min="6" style="1" width="6"/>
    <col collapsed="false" customWidth="true" hidden="false" outlineLevel="0" max="7" min="7" style="1" width="34"/>
    <col collapsed="false" customWidth="true" hidden="false" outlineLevel="0" max="8" min="8" style="1" width="18"/>
    <col collapsed="false" customWidth="true" hidden="false" outlineLevel="0" max="9" min="9" style="1" width="4"/>
    <col collapsed="false" customWidth="true" hidden="false" outlineLevel="0" max="10" min="10" style="1" width="48"/>
  </cols>
  <sheetData>
    <row r="1" customFormat="false" ht="30" hidden="false" customHeight="true" outlineLevel="0" collapsed="false">
      <c r="A1" s="33" t="s">
        <v>128</v>
      </c>
      <c r="B1" s="33"/>
      <c r="C1" s="33"/>
      <c r="D1" s="33"/>
      <c r="E1" s="33"/>
      <c r="F1" s="33"/>
      <c r="G1" s="33"/>
      <c r="H1" s="33"/>
    </row>
    <row r="3" customFormat="false" ht="15" hidden="false" customHeight="true" outlineLevel="0" collapsed="false">
      <c r="B3" s="4" t="s">
        <v>129</v>
      </c>
    </row>
    <row r="5" customFormat="false" ht="15" hidden="false" customHeight="true" outlineLevel="0" collapsed="false">
      <c r="B5" s="24" t="s">
        <v>130</v>
      </c>
      <c r="C5" s="24" t="s">
        <v>73</v>
      </c>
      <c r="D5" s="24" t="s">
        <v>131</v>
      </c>
      <c r="E5" s="24" t="s">
        <v>132</v>
      </c>
      <c r="G5" s="3" t="s">
        <v>133</v>
      </c>
    </row>
    <row r="6" customFormat="false" ht="15" hidden="false" customHeight="true" outlineLevel="0" collapsed="false">
      <c r="B6" s="4" t="n">
        <v>1</v>
      </c>
      <c r="C6" s="11" t="n">
        <v>16</v>
      </c>
      <c r="D6" s="11" t="n">
        <v>84</v>
      </c>
      <c r="E6" s="34" t="n">
        <f aca="false">IFERROR(D6/C6,0)</f>
        <v>5.25</v>
      </c>
      <c r="G6" s="4" t="s">
        <v>134</v>
      </c>
      <c r="H6" s="35" t="n">
        <f aca="false">AVERAGE(D6:D22)</f>
        <v>78.1764705882353</v>
      </c>
      <c r="J6" s="15" t="s">
        <v>135</v>
      </c>
    </row>
    <row r="7" customFormat="false" ht="15" hidden="false" customHeight="true" outlineLevel="0" collapsed="false">
      <c r="B7" s="4" t="n">
        <v>2</v>
      </c>
      <c r="C7" s="11" t="n">
        <v>32</v>
      </c>
      <c r="D7" s="11" t="n">
        <v>151</v>
      </c>
      <c r="E7" s="34" t="n">
        <f aca="false">IFERROR(D7/C7,0)</f>
        <v>4.71875</v>
      </c>
      <c r="G7" s="4" t="s">
        <v>136</v>
      </c>
      <c r="H7" s="35" t="n">
        <f aca="false">MEDIAN(D6:D22)</f>
        <v>73</v>
      </c>
      <c r="J7" s="15" t="s">
        <v>137</v>
      </c>
    </row>
    <row r="8" customFormat="false" ht="15" hidden="false" customHeight="true" outlineLevel="0" collapsed="false">
      <c r="B8" s="4" t="n">
        <v>3</v>
      </c>
      <c r="C8" s="11" t="n">
        <v>14</v>
      </c>
      <c r="D8" s="11" t="n">
        <v>43</v>
      </c>
      <c r="E8" s="34" t="n">
        <f aca="false">IFERROR(D8/C8,0)</f>
        <v>3.07142857142857</v>
      </c>
      <c r="G8" s="4" t="s">
        <v>138</v>
      </c>
      <c r="H8" s="35" t="n">
        <f aca="false">STDEV(D6:D22)</f>
        <v>29.6062394059885</v>
      </c>
    </row>
    <row r="9" customFormat="false" ht="15" hidden="false" customHeight="true" outlineLevel="0" collapsed="false">
      <c r="B9" s="4" t="n">
        <v>4</v>
      </c>
      <c r="C9" s="11" t="n">
        <v>9</v>
      </c>
      <c r="D9" s="11" t="n">
        <v>51</v>
      </c>
      <c r="E9" s="34" t="n">
        <f aca="false">IFERROR(D9/C9,0)</f>
        <v>5.66666666666667</v>
      </c>
      <c r="G9" s="4" t="s">
        <v>139</v>
      </c>
      <c r="H9" s="36" t="n">
        <f aca="false">H8/H6</f>
        <v>0.378710361099928</v>
      </c>
      <c r="J9" s="37" t="s">
        <v>140</v>
      </c>
    </row>
    <row r="10" customFormat="false" ht="15" hidden="false" customHeight="true" outlineLevel="0" collapsed="false">
      <c r="B10" s="4" t="n">
        <v>5</v>
      </c>
      <c r="C10" s="11" t="n">
        <v>19</v>
      </c>
      <c r="D10" s="11" t="n">
        <v>73</v>
      </c>
      <c r="E10" s="34" t="n">
        <f aca="false">IFERROR(D10/C10,0)</f>
        <v>3.84210526315789</v>
      </c>
      <c r="G10" s="4" t="s">
        <v>141</v>
      </c>
      <c r="H10" s="35" t="n">
        <f aca="false">AVERAGE(C6:C22)</f>
        <v>17.7058823529412</v>
      </c>
    </row>
    <row r="11" customFormat="false" ht="15" hidden="false" customHeight="true" outlineLevel="0" collapsed="false">
      <c r="B11" s="4" t="n">
        <v>6</v>
      </c>
      <c r="C11" s="11" t="n">
        <v>18</v>
      </c>
      <c r="D11" s="11" t="n">
        <v>62</v>
      </c>
      <c r="E11" s="34" t="n">
        <f aca="false">IFERROR(D11/C11,0)</f>
        <v>3.44444444444444</v>
      </c>
      <c r="G11" s="4" t="s">
        <v>142</v>
      </c>
      <c r="H11" s="38" t="n">
        <f aca="false">STDEV(C6:C22)</f>
        <v>6.64045090602243</v>
      </c>
    </row>
    <row r="12" customFormat="false" ht="15" hidden="false" customHeight="true" outlineLevel="0" collapsed="false">
      <c r="B12" s="4" t="n">
        <v>7</v>
      </c>
      <c r="C12" s="11" t="n">
        <v>12</v>
      </c>
      <c r="D12" s="11" t="n">
        <v>76</v>
      </c>
      <c r="E12" s="34" t="n">
        <f aca="false">IFERROR(D12/C12,0)</f>
        <v>6.33333333333333</v>
      </c>
      <c r="G12" s="4" t="s">
        <v>143</v>
      </c>
      <c r="H12" s="38" t="n">
        <f aca="false">AVERAGE(E6:E22)</f>
        <v>4.66227201371142</v>
      </c>
    </row>
    <row r="13" customFormat="false" ht="15" hidden="false" customHeight="true" outlineLevel="0" collapsed="false">
      <c r="B13" s="4" t="n">
        <v>8</v>
      </c>
      <c r="C13" s="11" t="n">
        <v>25</v>
      </c>
      <c r="D13" s="11" t="n">
        <v>127</v>
      </c>
      <c r="E13" s="34" t="n">
        <f aca="false">IFERROR(D13/C13,0)</f>
        <v>5.08</v>
      </c>
      <c r="G13" s="4" t="s">
        <v>144</v>
      </c>
      <c r="H13" s="38" t="n">
        <f aca="false">STDEV(E6:E22)</f>
        <v>1.42090835902053</v>
      </c>
    </row>
    <row r="14" customFormat="false" ht="15" hidden="false" customHeight="true" outlineLevel="0" collapsed="false">
      <c r="B14" s="4" t="n">
        <v>9</v>
      </c>
      <c r="C14" s="11" t="n">
        <v>13</v>
      </c>
      <c r="D14" s="11" t="n">
        <v>95</v>
      </c>
      <c r="E14" s="34" t="n">
        <f aca="false">IFERROR(D14/C14,0)</f>
        <v>7.30769230769231</v>
      </c>
    </row>
    <row r="15" customFormat="false" ht="15" hidden="false" customHeight="true" outlineLevel="0" collapsed="false">
      <c r="B15" s="4" t="n">
        <v>11</v>
      </c>
      <c r="C15" s="11" t="n">
        <v>18</v>
      </c>
      <c r="D15" s="11" t="n">
        <v>76</v>
      </c>
      <c r="E15" s="34" t="n">
        <f aca="false">IFERROR(D15/C15,0)</f>
        <v>4.22222222222222</v>
      </c>
    </row>
    <row r="16" customFormat="false" ht="15" hidden="false" customHeight="true" outlineLevel="0" collapsed="false">
      <c r="B16" s="4" t="n">
        <v>12</v>
      </c>
      <c r="C16" s="11" t="n">
        <v>26</v>
      </c>
      <c r="D16" s="11" t="n">
        <v>106</v>
      </c>
      <c r="E16" s="34" t="n">
        <f aca="false">IFERROR(D16/C16,0)</f>
        <v>4.07692307692308</v>
      </c>
      <c r="G16" s="3"/>
    </row>
    <row r="17" customFormat="false" ht="15" hidden="false" customHeight="true" outlineLevel="0" collapsed="false">
      <c r="B17" s="4" t="n">
        <v>13</v>
      </c>
      <c r="C17" s="11" t="n">
        <v>19</v>
      </c>
      <c r="D17" s="11" t="n">
        <v>43</v>
      </c>
      <c r="E17" s="34" t="n">
        <f aca="false">IFERROR(D17/C17,0)</f>
        <v>2.26315789473684</v>
      </c>
      <c r="G17" s="10"/>
      <c r="H17" s="39"/>
    </row>
    <row r="18" customFormat="false" ht="15" hidden="false" customHeight="true" outlineLevel="0" collapsed="false">
      <c r="B18" s="4" t="n">
        <v>14</v>
      </c>
      <c r="C18" s="11" t="n">
        <v>18</v>
      </c>
      <c r="D18" s="11" t="n">
        <v>66</v>
      </c>
      <c r="E18" s="34" t="n">
        <f aca="false">IFERROR(D18/C18,0)</f>
        <v>3.66666666666667</v>
      </c>
      <c r="G18" s="4"/>
    </row>
    <row r="19" customFormat="false" ht="15" hidden="false" customHeight="true" outlineLevel="0" collapsed="false">
      <c r="B19" s="4" t="n">
        <v>15</v>
      </c>
      <c r="C19" s="11" t="n">
        <v>26</v>
      </c>
      <c r="D19" s="11" t="n">
        <v>94</v>
      </c>
      <c r="E19" s="34" t="n">
        <f aca="false">IFERROR(D19/C19,0)</f>
        <v>3.61538461538462</v>
      </c>
      <c r="G19" s="4"/>
    </row>
    <row r="20" customFormat="false" ht="15" hidden="false" customHeight="true" outlineLevel="0" collapsed="false">
      <c r="B20" s="4" t="n">
        <v>16</v>
      </c>
      <c r="C20" s="11" t="n">
        <v>13</v>
      </c>
      <c r="D20" s="11" t="n">
        <v>69</v>
      </c>
      <c r="E20" s="34" t="n">
        <f aca="false">IFERROR(D20/C20,0)</f>
        <v>5.30769230769231</v>
      </c>
      <c r="G20" s="4"/>
    </row>
    <row r="21" customFormat="false" ht="15" hidden="false" customHeight="true" outlineLevel="0" collapsed="false">
      <c r="B21" s="4" t="n">
        <v>17</v>
      </c>
      <c r="C21" s="11" t="n">
        <v>17</v>
      </c>
      <c r="D21" s="11" t="n">
        <v>69</v>
      </c>
      <c r="E21" s="34" t="n">
        <f aca="false">IFERROR(D21/C21,0)</f>
        <v>4.05882352941176</v>
      </c>
      <c r="G21" s="4"/>
    </row>
    <row r="22" customFormat="false" ht="15" hidden="false" customHeight="true" outlineLevel="0" collapsed="false">
      <c r="B22" s="4" t="n">
        <v>18</v>
      </c>
      <c r="C22" s="11" t="n">
        <v>6</v>
      </c>
      <c r="D22" s="11" t="n">
        <v>44</v>
      </c>
      <c r="E22" s="34" t="n">
        <f aca="false">IFERROR(D22/C22,0)</f>
        <v>7.33333333333333</v>
      </c>
    </row>
    <row r="23" customFormat="false" ht="15" hidden="false" customHeight="true" outlineLevel="0" collapsed="false">
      <c r="G23" s="3"/>
    </row>
    <row r="24" customFormat="false" ht="15" hidden="false" customHeight="true" outlineLevel="0" collapsed="false">
      <c r="G24" s="3" t="s">
        <v>145</v>
      </c>
    </row>
    <row r="25" customFormat="false" ht="15" hidden="false" customHeight="true" outlineLevel="0" collapsed="false">
      <c r="G25" s="10" t="s">
        <v>146</v>
      </c>
      <c r="H25" s="40" t="n">
        <f aca="false">H6-H7</f>
        <v>5.17647058823529</v>
      </c>
    </row>
    <row r="26" customFormat="false" ht="15" hidden="false" customHeight="true" outlineLevel="0" collapsed="false">
      <c r="G26" s="4" t="s">
        <v>147</v>
      </c>
    </row>
    <row r="27" customFormat="false" ht="15" hidden="false" customHeight="true" outlineLevel="0" collapsed="false">
      <c r="G27" s="4" t="s">
        <v>148</v>
      </c>
    </row>
    <row r="28" customFormat="false" ht="15" hidden="false" customHeight="true" outlineLevel="0" collapsed="false">
      <c r="G28" s="4" t="s">
        <v>149</v>
      </c>
    </row>
    <row r="29" customFormat="false" ht="15" hidden="false" customHeight="true" outlineLevel="0" collapsed="false">
      <c r="G29" s="4" t="s">
        <v>150</v>
      </c>
    </row>
    <row r="31" customFormat="false" ht="15" hidden="false" customHeight="true" outlineLevel="0" collapsed="false">
      <c r="G31" s="37" t="s">
        <v>151</v>
      </c>
    </row>
    <row r="32" customFormat="false" ht="15" hidden="false" customHeight="true" outlineLevel="0" collapsed="false">
      <c r="G32" s="37" t="s">
        <v>152</v>
      </c>
    </row>
    <row r="34" customFormat="false" ht="15" hidden="false" customHeight="true" outlineLevel="0" collapsed="false">
      <c r="G34" s="15" t="s">
        <v>153</v>
      </c>
    </row>
    <row r="35" customFormat="false" ht="15" hidden="false" customHeight="true" outlineLevel="0" collapsed="false">
      <c r="G35" s="15" t="s">
        <v>154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691E"/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50"/>
  </cols>
  <sheetData>
    <row r="1" customFormat="false" ht="30" hidden="false" customHeight="true" outlineLevel="0" collapsed="false">
      <c r="A1" s="33" t="s">
        <v>155</v>
      </c>
      <c r="B1" s="33"/>
      <c r="C1" s="33"/>
      <c r="D1" s="33"/>
      <c r="E1" s="33"/>
      <c r="F1" s="33"/>
      <c r="G1" s="33"/>
      <c r="H1" s="33"/>
    </row>
    <row r="3" customFormat="false" ht="15" hidden="false" customHeight="true" outlineLevel="0" collapsed="false">
      <c r="B3" s="4" t="s">
        <v>156</v>
      </c>
    </row>
    <row r="4" customFormat="false" ht="15" hidden="false" customHeight="true" outlineLevel="0" collapsed="false">
      <c r="B4" s="15" t="s">
        <v>157</v>
      </c>
    </row>
    <row r="6" customFormat="false" ht="15" hidden="false" customHeight="true" outlineLevel="0" collapsed="false">
      <c r="B6" s="3" t="s">
        <v>158</v>
      </c>
      <c r="E6" s="3" t="s">
        <v>159</v>
      </c>
    </row>
    <row r="7" customFormat="false" ht="15" hidden="false" customHeight="true" outlineLevel="0" collapsed="false">
      <c r="B7" s="10" t="s">
        <v>160</v>
      </c>
      <c r="C7" s="12" t="n">
        <v>17.7</v>
      </c>
      <c r="E7" s="10" t="s">
        <v>161</v>
      </c>
      <c r="F7" s="25" t="n">
        <v>4.66</v>
      </c>
    </row>
    <row r="8" customFormat="false" ht="15" hidden="false" customHeight="true" outlineLevel="0" collapsed="false">
      <c r="B8" s="10" t="s">
        <v>142</v>
      </c>
      <c r="C8" s="25" t="n">
        <v>6.6</v>
      </c>
      <c r="E8" s="10" t="s">
        <v>144</v>
      </c>
      <c r="F8" s="25" t="n">
        <v>1.42</v>
      </c>
    </row>
    <row r="11" customFormat="false" ht="15" hidden="false" customHeight="true" outlineLevel="0" collapsed="false">
      <c r="B11" s="3" t="s">
        <v>162</v>
      </c>
    </row>
    <row r="12" customFormat="false" ht="15" hidden="false" customHeight="true" outlineLevel="0" collapsed="false">
      <c r="B12" s="10" t="s">
        <v>163</v>
      </c>
      <c r="C12" s="41" t="n">
        <f aca="false">C7*F7</f>
        <v>82.482</v>
      </c>
      <c r="H12" s="15" t="s">
        <v>164</v>
      </c>
    </row>
    <row r="13" customFormat="false" ht="15" hidden="false" customHeight="true" outlineLevel="0" collapsed="false">
      <c r="B13" s="10" t="s">
        <v>165</v>
      </c>
      <c r="C13" s="41" t="n">
        <f aca="false">SQRT((C7*F8)^2+(F7*C8)^2+(C8*F8)^2)</f>
        <v>40.810340307329</v>
      </c>
      <c r="H13" s="15" t="s">
        <v>166</v>
      </c>
    </row>
    <row r="14" customFormat="false" ht="15" hidden="false" customHeight="true" outlineLevel="0" collapsed="false">
      <c r="B14" s="4" t="s">
        <v>167</v>
      </c>
      <c r="C14" s="34" t="n">
        <f aca="false">C13/C12</f>
        <v>0.494778743329805</v>
      </c>
      <c r="H14" s="15" t="s">
        <v>168</v>
      </c>
    </row>
    <row r="16" customFormat="false" ht="15" hidden="false" customHeight="true" outlineLevel="0" collapsed="false">
      <c r="B16" s="3" t="s">
        <v>169</v>
      </c>
    </row>
    <row r="17" customFormat="false" ht="15" hidden="false" customHeight="true" outlineLevel="0" collapsed="false">
      <c r="B17" s="4" t="s">
        <v>170</v>
      </c>
      <c r="C17" s="18" t="n">
        <f aca="false">(F7*C8)^2/C13^2</f>
        <v>0.567961989684252</v>
      </c>
    </row>
    <row r="18" customFormat="false" ht="15" hidden="false" customHeight="true" outlineLevel="0" collapsed="false">
      <c r="B18" s="4" t="s">
        <v>171</v>
      </c>
      <c r="C18" s="18" t="n">
        <f aca="false">(C7*F8)^2/C13^2</f>
        <v>0.379299953066612</v>
      </c>
    </row>
    <row r="19" customFormat="false" ht="15" hidden="false" customHeight="true" outlineLevel="0" collapsed="false">
      <c r="B19" s="4" t="s">
        <v>172</v>
      </c>
      <c r="C19" s="18" t="n">
        <f aca="false">(C8*F8)^2/C13^2</f>
        <v>0.0527380572491354</v>
      </c>
    </row>
    <row r="21" customFormat="false" ht="15" hidden="false" customHeight="true" outlineLevel="0" collapsed="false">
      <c r="B21" s="4" t="s">
        <v>173</v>
      </c>
    </row>
    <row r="22" customFormat="false" ht="15" hidden="false" customHeight="true" outlineLevel="0" collapsed="false">
      <c r="B22" s="4" t="s">
        <v>174</v>
      </c>
    </row>
    <row r="23" customFormat="false" ht="15" hidden="false" customHeight="true" outlineLevel="0" collapsed="false">
      <c r="B23" s="4" t="s">
        <v>175</v>
      </c>
    </row>
    <row r="24" customFormat="false" ht="15" hidden="false" customHeight="true" outlineLevel="0" collapsed="false">
      <c r="B24" s="4" t="s">
        <v>176</v>
      </c>
    </row>
    <row r="25" customFormat="false" ht="15" hidden="false" customHeight="true" outlineLevel="0" collapsed="false">
      <c r="B25" s="4" t="s">
        <v>177</v>
      </c>
    </row>
    <row r="28" customFormat="false" ht="15" hidden="false" customHeight="true" outlineLevel="0" collapsed="false">
      <c r="B28" s="4" t="s">
        <v>178</v>
      </c>
    </row>
    <row r="29" customFormat="false" ht="15" hidden="false" customHeight="true" outlineLevel="0" collapsed="false">
      <c r="B29" s="4" t="s">
        <v>179</v>
      </c>
    </row>
    <row r="30" customFormat="false" ht="15" hidden="false" customHeight="true" outlineLevel="0" collapsed="false">
      <c r="B30" s="4" t="s">
        <v>180</v>
      </c>
    </row>
    <row r="31" customFormat="false" ht="15" hidden="false" customHeight="true" outlineLevel="0" collapsed="false">
      <c r="B31" s="4" t="s">
        <v>181</v>
      </c>
    </row>
    <row r="32" customFormat="false" ht="15" hidden="false" customHeight="true" outlineLevel="0" collapsed="false">
      <c r="B32" s="23" t="s">
        <v>182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4" min="3" style="1" width="18"/>
    <col collapsed="false" customWidth="true" hidden="false" outlineLevel="0" max="5" min="5" style="1" width="4"/>
    <col collapsed="false" customWidth="true" hidden="false" outlineLevel="0" max="6" min="6" style="1" width="52"/>
  </cols>
  <sheetData>
    <row r="1" customFormat="false" ht="30" hidden="false" customHeight="true" outlineLevel="0" collapsed="false">
      <c r="A1" s="42" t="s">
        <v>183</v>
      </c>
      <c r="B1" s="42"/>
      <c r="C1" s="42"/>
      <c r="D1" s="42"/>
      <c r="E1" s="42"/>
      <c r="F1" s="42"/>
      <c r="G1" s="42"/>
      <c r="H1" s="42"/>
    </row>
    <row r="3" customFormat="false" ht="15" hidden="false" customHeight="true" outlineLevel="0" collapsed="false">
      <c r="B3" s="4" t="s">
        <v>184</v>
      </c>
    </row>
    <row r="4" customFormat="false" ht="15" hidden="false" customHeight="true" outlineLevel="0" collapsed="false">
      <c r="B4" s="4" t="s">
        <v>185</v>
      </c>
    </row>
    <row r="6" customFormat="false" ht="15" hidden="false" customHeight="true" outlineLevel="0" collapsed="false">
      <c r="B6" s="3" t="s">
        <v>31</v>
      </c>
    </row>
    <row r="7" customFormat="false" ht="15" hidden="false" customHeight="true" outlineLevel="0" collapsed="false">
      <c r="B7" s="10" t="s">
        <v>186</v>
      </c>
      <c r="C7" s="12" t="n">
        <v>80</v>
      </c>
      <c r="F7" s="15" t="s">
        <v>187</v>
      </c>
    </row>
    <row r="8" customFormat="false" ht="15" hidden="false" customHeight="true" outlineLevel="0" collapsed="false">
      <c r="B8" s="10" t="s">
        <v>138</v>
      </c>
      <c r="C8" s="12" t="n">
        <v>29.6</v>
      </c>
      <c r="F8" s="15" t="s">
        <v>188</v>
      </c>
    </row>
    <row r="9" customFormat="false" ht="15" hidden="false" customHeight="true" outlineLevel="0" collapsed="false">
      <c r="B9" s="10" t="s">
        <v>35</v>
      </c>
      <c r="C9" s="12" t="n">
        <v>72.5</v>
      </c>
    </row>
    <row r="10" customFormat="false" ht="15" hidden="false" customHeight="true" outlineLevel="0" collapsed="false">
      <c r="B10" s="10" t="s">
        <v>189</v>
      </c>
      <c r="C10" s="13" t="n">
        <v>-120</v>
      </c>
    </row>
    <row r="12" customFormat="false" ht="15" hidden="false" customHeight="true" outlineLevel="0" collapsed="false">
      <c r="B12" s="3" t="s">
        <v>190</v>
      </c>
      <c r="C12" s="24" t="s">
        <v>191</v>
      </c>
      <c r="D12" s="24" t="s">
        <v>192</v>
      </c>
    </row>
    <row r="13" customFormat="false" ht="15" hidden="false" customHeight="true" outlineLevel="0" collapsed="false">
      <c r="B13" s="4" t="s">
        <v>193</v>
      </c>
      <c r="D13" s="43" t="n">
        <f aca="false">SQRT(LN(1+(C8/C7)^2))</f>
        <v>0.358197236383705</v>
      </c>
      <c r="F13" s="44" t="s">
        <v>194</v>
      </c>
    </row>
    <row r="14" customFormat="false" ht="15" hidden="false" customHeight="true" outlineLevel="0" collapsed="false">
      <c r="B14" s="4" t="s">
        <v>195</v>
      </c>
      <c r="D14" s="43" t="n">
        <f aca="false">LN(C7)-D13^2/2</f>
        <v>4.31787400459742</v>
      </c>
    </row>
    <row r="15" customFormat="false" ht="15" hidden="false" customHeight="true" outlineLevel="0" collapsed="false">
      <c r="F15" s="4" t="s">
        <v>196</v>
      </c>
    </row>
    <row r="16" customFormat="false" ht="15" hidden="false" customHeight="true" outlineLevel="0" collapsed="false">
      <c r="B16" s="4" t="s">
        <v>197</v>
      </c>
      <c r="C16" s="16" t="n">
        <f aca="false">C7</f>
        <v>80</v>
      </c>
      <c r="D16" s="16" t="n">
        <f aca="false">C7</f>
        <v>80</v>
      </c>
      <c r="F16" s="4" t="s">
        <v>198</v>
      </c>
    </row>
    <row r="17" customFormat="false" ht="15" hidden="false" customHeight="true" outlineLevel="0" collapsed="false">
      <c r="B17" s="10" t="s">
        <v>199</v>
      </c>
      <c r="C17" s="35" t="n">
        <f aca="false">C7</f>
        <v>80</v>
      </c>
      <c r="D17" s="45" t="n">
        <f aca="false">EXP(D14)</f>
        <v>75.0289474144982</v>
      </c>
      <c r="F17" s="4"/>
    </row>
    <row r="18" customFormat="false" ht="15" hidden="false" customHeight="true" outlineLevel="0" collapsed="false">
      <c r="F18" s="4" t="s">
        <v>200</v>
      </c>
    </row>
    <row r="19" customFormat="false" ht="15" hidden="false" customHeight="true" outlineLevel="0" collapsed="false">
      <c r="B19" s="10" t="s">
        <v>201</v>
      </c>
      <c r="C19" s="19" t="n">
        <f aca="false">1-NORMDIST(C9,C7,C8,TRUE())</f>
        <v>0.600012082908582</v>
      </c>
      <c r="D19" s="46" t="n">
        <f aca="false">1-LOGNORMDIST(C9,D14,D13)</f>
        <v>0.538129412486997</v>
      </c>
      <c r="F19" s="4"/>
    </row>
    <row r="20" customFormat="false" ht="15" hidden="false" customHeight="true" outlineLevel="0" collapsed="false">
      <c r="B20" s="4" t="s">
        <v>202</v>
      </c>
      <c r="C20" s="18" t="n">
        <f aca="false">IF($C$10&lt;0,-$C$10/(-$C$10+100),100/($C$10+100))</f>
        <v>0.545454545454545</v>
      </c>
      <c r="D20" s="18" t="n">
        <f aca="false">IF($C$10&lt;0,-$C$10/(-$C$10+100),100/($C$10+100))</f>
        <v>0.545454545454545</v>
      </c>
      <c r="F20" s="4" t="s">
        <v>203</v>
      </c>
    </row>
    <row r="21" customFormat="false" ht="15" hidden="false" customHeight="true" outlineLevel="0" collapsed="false">
      <c r="B21" s="10" t="s">
        <v>204</v>
      </c>
      <c r="C21" s="21" t="n">
        <f aca="false">C19*IF($C$10&lt;0,1+100/-$C$10,1+$C$10/100)-1</f>
        <v>0.100022151999067</v>
      </c>
      <c r="D21" s="47" t="n">
        <f aca="false">D19*IF($C$10&lt;0,1+100/-$C$10,1+$C$10/100)-1</f>
        <v>-0.0134294104405061</v>
      </c>
      <c r="F21" s="4" t="s">
        <v>205</v>
      </c>
    </row>
    <row r="22" customFormat="false" ht="17.25" hidden="false" customHeight="true" outlineLevel="0" collapsed="false">
      <c r="B22" s="22"/>
      <c r="C22" s="22"/>
      <c r="D22" s="22"/>
    </row>
    <row r="25" customFormat="false" ht="15" hidden="false" customHeight="true" outlineLevel="0" collapsed="false">
      <c r="B25" s="3" t="s">
        <v>206</v>
      </c>
    </row>
    <row r="26" customFormat="false" ht="15" hidden="false" customHeight="true" outlineLevel="0" collapsed="false">
      <c r="B26" s="4" t="s">
        <v>207</v>
      </c>
    </row>
    <row r="27" customFormat="false" ht="15" hidden="false" customHeight="true" outlineLevel="0" collapsed="false">
      <c r="B27" s="4" t="s">
        <v>208</v>
      </c>
    </row>
    <row r="28" customFormat="false" ht="15" hidden="false" customHeight="true" outlineLevel="0" collapsed="false">
      <c r="B28" s="4" t="s">
        <v>209</v>
      </c>
    </row>
    <row r="29" customFormat="false" ht="15" hidden="false" customHeight="true" outlineLevel="0" collapsed="false">
      <c r="B29" s="4" t="s">
        <v>210</v>
      </c>
    </row>
    <row r="30" customFormat="false" ht="15" hidden="false" customHeight="true" outlineLevel="0" collapsed="false">
      <c r="B30" s="4"/>
    </row>
    <row r="31" customFormat="false" ht="15" hidden="false" customHeight="true" outlineLevel="0" collapsed="false">
      <c r="B31" s="4" t="s">
        <v>211</v>
      </c>
    </row>
    <row r="32" customFormat="false" ht="15" hidden="false" customHeight="true" outlineLevel="0" collapsed="false">
      <c r="B32" s="23" t="s">
        <v>212</v>
      </c>
    </row>
    <row r="34" customFormat="false" ht="15" hidden="false" customHeight="true" outlineLevel="0" collapsed="false">
      <c r="B34" s="3" t="s">
        <v>213</v>
      </c>
    </row>
    <row r="35" customFormat="false" ht="15" hidden="false" customHeight="true" outlineLevel="0" collapsed="false">
      <c r="B35" s="4" t="s">
        <v>214</v>
      </c>
    </row>
    <row r="36" customFormat="false" ht="15" hidden="false" customHeight="true" outlineLevel="0" collapsed="false">
      <c r="B36" s="4" t="s">
        <v>215</v>
      </c>
    </row>
    <row r="37" customFormat="false" ht="15" hidden="false" customHeight="true" outlineLevel="0" collapsed="false">
      <c r="B37" s="4" t="s">
        <v>216</v>
      </c>
    </row>
    <row r="38" customFormat="false" ht="15" hidden="false" customHeight="true" outlineLevel="0" collapsed="false">
      <c r="B38" s="4" t="s">
        <v>217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2C91"/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16"/>
    <col collapsed="false" customWidth="true" hidden="false" outlineLevel="0" max="6" min="5" style="1" width="18"/>
    <col collapsed="false" customWidth="true" hidden="false" outlineLevel="0" max="7" min="7" style="1" width="4"/>
    <col collapsed="false" customWidth="true" hidden="false" outlineLevel="0" max="8" min="8" style="1" width="50"/>
  </cols>
  <sheetData>
    <row r="1" customFormat="false" ht="30" hidden="false" customHeight="true" outlineLevel="0" collapsed="false">
      <c r="A1" s="48" t="s">
        <v>218</v>
      </c>
      <c r="B1" s="48"/>
      <c r="C1" s="48"/>
      <c r="D1" s="48"/>
      <c r="E1" s="48"/>
      <c r="F1" s="48"/>
      <c r="G1" s="48"/>
      <c r="H1" s="48"/>
    </row>
    <row r="3" customFormat="false" ht="15" hidden="false" customHeight="true" outlineLevel="0" collapsed="false">
      <c r="B3" s="4" t="s">
        <v>219</v>
      </c>
    </row>
    <row r="4" customFormat="false" ht="15" hidden="false" customHeight="true" outlineLevel="0" collapsed="false">
      <c r="B4" s="15" t="s">
        <v>220</v>
      </c>
    </row>
    <row r="6" customFormat="false" ht="15" hidden="false" customHeight="true" outlineLevel="0" collapsed="false">
      <c r="B6" s="10" t="s">
        <v>221</v>
      </c>
      <c r="C6" s="49" t="n">
        <f aca="false">'Skew Adjustment'!C7</f>
        <v>80</v>
      </c>
    </row>
    <row r="7" customFormat="false" ht="15" hidden="false" customHeight="true" outlineLevel="0" collapsed="false">
      <c r="B7" s="10" t="s">
        <v>138</v>
      </c>
      <c r="C7" s="49" t="n">
        <f aca="false">'Skew Adjustment'!C8</f>
        <v>29.6</v>
      </c>
    </row>
    <row r="8" customFormat="false" ht="15" hidden="false" customHeight="true" outlineLevel="0" collapsed="false">
      <c r="B8" s="4" t="s">
        <v>222</v>
      </c>
      <c r="C8" s="43" t="n">
        <f aca="false">SQRT(LN(1+(C7/C6)^2))</f>
        <v>0.358197236383705</v>
      </c>
    </row>
    <row r="9" customFormat="false" ht="15" hidden="false" customHeight="true" outlineLevel="0" collapsed="false">
      <c r="B9" s="4" t="s">
        <v>223</v>
      </c>
      <c r="C9" s="43" t="n">
        <f aca="false">LN(C6)-C8^2/2</f>
        <v>4.31787400459742</v>
      </c>
    </row>
    <row r="12" customFormat="false" ht="15" hidden="false" customHeight="true" outlineLevel="0" collapsed="false">
      <c r="B12" s="24" t="s">
        <v>224</v>
      </c>
      <c r="C12" s="24" t="s">
        <v>225</v>
      </c>
      <c r="D12" s="24" t="s">
        <v>226</v>
      </c>
      <c r="E12" s="24" t="s">
        <v>227</v>
      </c>
      <c r="F12" s="24" t="s">
        <v>228</v>
      </c>
    </row>
    <row r="13" customFormat="false" ht="15" hidden="false" customHeight="true" outlineLevel="0" collapsed="false">
      <c r="B13" s="12" t="n">
        <v>52.5</v>
      </c>
      <c r="C13" s="18" t="n">
        <f aca="false">1-LOGNORMDIST(B13,$C$9,$C$8)</f>
        <v>0.840575862264076</v>
      </c>
      <c r="D13" s="50" t="n">
        <f aca="false">IF(C13&gt;0.5,-C13/(1-C13)*100,(1-C13)/C13*100)</f>
        <v>-527.257587340026</v>
      </c>
      <c r="E13" s="51" t="n">
        <v>-260</v>
      </c>
      <c r="F13" s="52" t="n">
        <f aca="false">C13*IF(E13&lt;0,1+100/-E13,1+E13/100)-1</f>
        <v>0.163874270827181</v>
      </c>
    </row>
    <row r="14" customFormat="false" ht="15" hidden="false" customHeight="true" outlineLevel="0" collapsed="false">
      <c r="B14" s="12" t="n">
        <v>62.5</v>
      </c>
      <c r="C14" s="18" t="n">
        <f aca="false">1-LOGNORMDIST(B14,$C$9,$C$8)</f>
        <v>0.695000533163209</v>
      </c>
      <c r="D14" s="50" t="n">
        <f aca="false">IF(C14&gt;0.5,-C14/(1-C14)*100,(1-C14)/C14*100)</f>
        <v>-227.869425599721</v>
      </c>
      <c r="E14" s="51" t="n">
        <v>-175</v>
      </c>
      <c r="F14" s="52" t="n">
        <f aca="false">C14*IF(E14&lt;0,1+100/-E14,1+E14/100)-1</f>
        <v>0.0921436949707566</v>
      </c>
    </row>
    <row r="15" customFormat="false" ht="15" hidden="false" customHeight="true" outlineLevel="0" collapsed="false">
      <c r="B15" s="12" t="n">
        <v>72.5</v>
      </c>
      <c r="C15" s="18" t="n">
        <f aca="false">1-LOGNORMDIST(B15,$C$9,$C$8)</f>
        <v>0.538129412486997</v>
      </c>
      <c r="D15" s="50" t="n">
        <f aca="false">IF(C15&gt;0.5,-C15/(1-C15)*100,(1-C15)/C15*100)</f>
        <v>-116.510864089575</v>
      </c>
      <c r="E15" s="51" t="n">
        <v>-120</v>
      </c>
      <c r="F15" s="52" t="n">
        <f aca="false">C15*IF(E15&lt;0,1+100/-E15,1+E15/100)-1</f>
        <v>-0.0134294104405061</v>
      </c>
    </row>
    <row r="16" customFormat="false" ht="15" hidden="false" customHeight="true" outlineLevel="0" collapsed="false">
      <c r="B16" s="12" t="n">
        <v>82.5</v>
      </c>
      <c r="C16" s="18" t="n">
        <f aca="false">1-LOGNORMDIST(B16,$C$9,$C$8)</f>
        <v>0.395502557573432</v>
      </c>
      <c r="D16" s="50" t="n">
        <f aca="false">IF(C16&gt;0.5,-C16/(1-C16)*100,(1-C16)/C16*100)</f>
        <v>152.842865577255</v>
      </c>
      <c r="E16" s="51" t="n">
        <v>105</v>
      </c>
      <c r="F16" s="52" t="n">
        <f aca="false">C16*IF(E16&lt;0,1+100/-E16,1+E16/100)-1</f>
        <v>-0.189219756974464</v>
      </c>
    </row>
    <row r="17" customFormat="false" ht="15" hidden="false" customHeight="true" outlineLevel="0" collapsed="false">
      <c r="B17" s="12" t="n">
        <v>92.5</v>
      </c>
      <c r="C17" s="18" t="n">
        <f aca="false">1-LOGNORMDIST(B17,$C$9,$C$8)</f>
        <v>0.279471693434611</v>
      </c>
      <c r="D17" s="50" t="n">
        <f aca="false">IF(C17&gt;0.5,-C17/(1-C17)*100,(1-C17)/C17*100)</f>
        <v>257.81799140741</v>
      </c>
      <c r="E17" s="51" t="n">
        <v>155</v>
      </c>
      <c r="F17" s="52" t="n">
        <f aca="false">C17*IF(E17&lt;0,1+100/-E17,1+E17/100)-1</f>
        <v>-0.287347181741741</v>
      </c>
    </row>
    <row r="18" customFormat="false" ht="15" hidden="false" customHeight="true" outlineLevel="0" collapsed="false">
      <c r="B18" s="12" t="n">
        <v>102.5</v>
      </c>
      <c r="C18" s="18" t="n">
        <f aca="false">1-LOGNORMDIST(B18,$C$9,$C$8)</f>
        <v>0.191877837883292</v>
      </c>
      <c r="D18" s="50" t="n">
        <f aca="false">IF(C18&gt;0.5,-C18/(1-C18)*100,(1-C18)/C18*100)</f>
        <v>421.164930265808</v>
      </c>
      <c r="E18" s="51" t="n">
        <v>240</v>
      </c>
      <c r="F18" s="52" t="n">
        <f aca="false">C18*IF(E18&lt;0,1+100/-E18,1+E18/100)-1</f>
        <v>-0.347615351196806</v>
      </c>
    </row>
    <row r="21" customFormat="false" ht="15" hidden="false" customHeight="true" outlineLevel="0" collapsed="false">
      <c r="B21" s="3" t="s">
        <v>229</v>
      </c>
    </row>
    <row r="22" customFormat="false" ht="15" hidden="false" customHeight="true" outlineLevel="0" collapsed="false">
      <c r="B22" s="4" t="s">
        <v>230</v>
      </c>
    </row>
    <row r="23" customFormat="false" ht="15" hidden="false" customHeight="true" outlineLevel="0" collapsed="false">
      <c r="B23" s="4" t="s">
        <v>231</v>
      </c>
    </row>
    <row r="24" customFormat="false" ht="15" hidden="false" customHeight="true" outlineLevel="0" collapsed="false">
      <c r="B24" s="4"/>
    </row>
    <row r="25" customFormat="false" ht="15" hidden="false" customHeight="true" outlineLevel="0" collapsed="false">
      <c r="B25" s="4" t="s">
        <v>232</v>
      </c>
    </row>
    <row r="26" customFormat="false" ht="15" hidden="false" customHeight="true" outlineLevel="0" collapsed="false">
      <c r="B26" s="4" t="s">
        <v>233</v>
      </c>
    </row>
    <row r="27" customFormat="false" ht="15" hidden="false" customHeight="true" outlineLevel="0" collapsed="false">
      <c r="B27" s="4" t="s">
        <v>234</v>
      </c>
    </row>
    <row r="28" customFormat="false" ht="15" hidden="false" customHeight="true" outlineLevel="0" collapsed="false">
      <c r="B28" s="4"/>
    </row>
    <row r="29" customFormat="false" ht="15" hidden="false" customHeight="true" outlineLevel="0" collapsed="false">
      <c r="B29" s="4" t="s">
        <v>235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2026-07-23T02:02:30Z</dcterms:created>
  <dc:creator>openpyxl</dc:creator>
  <dc:description/>
  <dc:language>en-US</dc:language>
  <cp:lastModifiedBy/>
  <dcterms:modified xsi:type="dcterms:W3CDTF">2026-07-25T14:56:41Z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